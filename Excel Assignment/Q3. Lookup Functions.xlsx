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f8c704b5f3d875a/Desktop/Excel Assignment/Excel Assignment/"/>
    </mc:Choice>
  </mc:AlternateContent>
  <xr:revisionPtr revIDLastSave="67" documentId="11_C6A7C289657BD74270BD66EFBB06EF278C082729" xr6:coauthVersionLast="47" xr6:coauthVersionMax="47" xr10:uidLastSave="{3BA87D9D-0617-4507-A148-0234BDDBDDF6}"/>
  <bookViews>
    <workbookView xWindow="-120" yWindow="-120" windowWidth="20730" windowHeight="11040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definedNames>
    <definedName name="empdata">Source!$C$5:$F$40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I8" i="2" l="1"/>
  <c r="J8" i="2"/>
  <c r="K8" i="2"/>
  <c r="I9" i="2"/>
  <c r="J9" i="2"/>
  <c r="K9" i="2"/>
  <c r="I10" i="2"/>
  <c r="J10" i="2"/>
  <c r="K10" i="2"/>
  <c r="I11" i="2"/>
  <c r="J11" i="2"/>
  <c r="K11" i="2"/>
  <c r="I12" i="2"/>
  <c r="J12" i="2"/>
  <c r="K12" i="2"/>
  <c r="I13" i="2"/>
  <c r="J13" i="2"/>
  <c r="K13" i="2"/>
  <c r="I14" i="2"/>
  <c r="J14" i="2"/>
  <c r="K14" i="2"/>
  <c r="I15" i="2"/>
  <c r="J15" i="2"/>
  <c r="K15" i="2"/>
  <c r="I16" i="2"/>
  <c r="J16" i="2"/>
  <c r="K16" i="2"/>
  <c r="I17" i="2"/>
  <c r="J17" i="2"/>
  <c r="K17" i="2"/>
  <c r="I18" i="2"/>
  <c r="J18" i="2"/>
  <c r="K18" i="2"/>
  <c r="I19" i="2"/>
  <c r="J19" i="2"/>
  <c r="K19" i="2"/>
  <c r="I20" i="2"/>
  <c r="J20" i="2"/>
  <c r="K20" i="2"/>
  <c r="I21" i="2"/>
  <c r="J21" i="2"/>
  <c r="K21" i="2"/>
  <c r="I22" i="2"/>
  <c r="J22" i="2"/>
  <c r="K22" i="2"/>
  <c r="I23" i="2"/>
  <c r="J23" i="2"/>
  <c r="K23" i="2"/>
  <c r="I24" i="2"/>
  <c r="J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I29" i="2"/>
  <c r="J29" i="2"/>
  <c r="K29" i="2"/>
  <c r="I30" i="2"/>
  <c r="J30" i="2"/>
  <c r="K30" i="2"/>
  <c r="I31" i="2"/>
  <c r="J31" i="2"/>
  <c r="K31" i="2"/>
  <c r="I32" i="2"/>
  <c r="J32" i="2"/>
  <c r="K32" i="2"/>
  <c r="I33" i="2"/>
  <c r="J33" i="2"/>
  <c r="K33" i="2"/>
  <c r="I34" i="2"/>
  <c r="J34" i="2"/>
  <c r="K34" i="2"/>
  <c r="I35" i="2"/>
  <c r="J35" i="2"/>
  <c r="K35" i="2"/>
  <c r="I36" i="2"/>
  <c r="J36" i="2"/>
  <c r="K36" i="2"/>
  <c r="I37" i="2"/>
  <c r="J37" i="2"/>
  <c r="K37" i="2"/>
  <c r="I38" i="2"/>
  <c r="J38" i="2"/>
  <c r="K38" i="2"/>
  <c r="I39" i="2"/>
  <c r="J39" i="2"/>
  <c r="K39" i="2"/>
  <c r="I40" i="2"/>
  <c r="J40" i="2"/>
  <c r="K40" i="2"/>
  <c r="I41" i="2"/>
  <c r="J41" i="2"/>
  <c r="K41" i="2"/>
  <c r="I42" i="2"/>
  <c r="J42" i="2"/>
  <c r="K42" i="2"/>
  <c r="I43" i="2"/>
  <c r="J43" i="2"/>
  <c r="K43" i="2"/>
  <c r="I44" i="2"/>
  <c r="J44" i="2"/>
  <c r="K44" i="2"/>
  <c r="J7" i="2"/>
  <c r="K7" i="2"/>
  <c r="I7" i="2"/>
  <c r="O11" i="1"/>
  <c r="O10" i="1"/>
  <c r="N11" i="1"/>
  <c r="N10" i="1"/>
</calcChain>
</file>

<file path=xl/sharedStrings.xml><?xml version="1.0" encoding="utf-8"?>
<sst xmlns="http://schemas.openxmlformats.org/spreadsheetml/2006/main" count="480" uniqueCount="104">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</sst>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3" fillId="2" borderId="3" xfId="0" applyFont="1" applyFill="1" applyBorder="1" applyAlignment="1">
      <alignment horizontal="left"/>
    </xf>
    <xf numFmtId="0" fontId="4" fillId="0" borderId="4" xfId="0" applyFont="1" applyBorder="1"/>
    <xf numFmtId="0" fontId="2" fillId="0" borderId="5" xfId="0" applyFont="1" applyBorder="1" applyAlignment="1">
      <alignment horizontal="center"/>
    </xf>
    <xf numFmtId="0" fontId="2" fillId="0" borderId="6" xfId="0" applyFont="1" applyBorder="1"/>
    <xf numFmtId="0" fontId="1" fillId="2" borderId="7" xfId="0" applyFont="1" applyFill="1" applyBorder="1"/>
    <xf numFmtId="0" fontId="1" fillId="2" borderId="8" xfId="0" applyFont="1" applyFill="1" applyBorder="1"/>
    <xf numFmtId="0" fontId="1" fillId="2" borderId="9" xfId="0" applyFont="1" applyFill="1" applyBorder="1"/>
    <xf numFmtId="0" fontId="2" fillId="0" borderId="4" xfId="0" applyFont="1" applyBorder="1" applyAlignment="1">
      <alignment horizontal="center"/>
    </xf>
    <xf numFmtId="0" fontId="2" fillId="0" borderId="10" xfId="0" quotePrefix="1" applyFont="1" applyBorder="1"/>
    <xf numFmtId="0" fontId="2" fillId="0" borderId="3" xfId="0" applyFont="1" applyBorder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A8D08D"/>
          <bgColor rgb="FFA8D08D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E3BC83-F1D5-4189-BCC0-FB48639AABAD}" name="Table1" displayName="Table1" ref="C5:F40" totalsRowShown="0" headerRowDxfId="0" headerRowBorderDxfId="6" tableBorderDxfId="7" totalsRowBorderDxfId="5">
  <autoFilter ref="C5:F40" xr:uid="{D8E3BC83-F1D5-4189-BCC0-FB48639AABAD}"/>
  <tableColumns count="4">
    <tableColumn id="1" xr3:uid="{1DED5D76-B025-43E8-94D7-EAF36165C8C4}" name="C_Code" dataDxfId="4"/>
    <tableColumn id="2" xr3:uid="{4D58EF82-4AE4-48B2-9B77-A0F2E7F5588D}" name="Department" dataDxfId="3"/>
    <tableColumn id="3" xr3:uid="{11C9D5E3-CB25-4FAF-8154-167E3CA7A4FD}" name="Region" dataDxfId="2"/>
    <tableColumn id="4" xr3:uid="{0560E672-4229-44D2-9101-1D7D42A2B241}" name="Basic Sal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topLeftCell="A4" workbookViewId="0">
      <selection activeCell="N14" sqref="N14"/>
    </sheetView>
  </sheetViews>
  <sheetFormatPr defaultColWidth="14.42578125" defaultRowHeight="15" customHeight="1"/>
  <cols>
    <col min="1" max="5" width="8.7109375" customWidth="1"/>
    <col min="6" max="6" width="9.85546875" customWidth="1"/>
    <col min="7" max="10" width="8.7109375" customWidth="1"/>
    <col min="11" max="11" width="10.7109375" customWidth="1"/>
    <col min="12" max="12" width="8.7109375" customWidth="1"/>
    <col min="13" max="13" width="38" customWidth="1"/>
    <col min="14" max="14" width="13" customWidth="1"/>
    <col min="15" max="15" width="17.28515625" customWidth="1"/>
    <col min="16" max="26" width="8.710937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0" t="s">
        <v>30</v>
      </c>
      <c r="N9" s="11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6" t="str">
        <f>INDEX(D5:D42,MATCH(N10,K5:K42,0))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6">
        <f>MIN(K5:K42)</f>
        <v>15000</v>
      </c>
      <c r="O11" s="6" t="str">
        <f>INDEX(D5:D42,MATCH(N11,K5:K42,0))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K1000"/>
  <sheetViews>
    <sheetView tabSelected="1" workbookViewId="0">
      <selection activeCell="J4" sqref="J4"/>
    </sheetView>
  </sheetViews>
  <sheetFormatPr defaultColWidth="14.42578125" defaultRowHeight="15" customHeight="1"/>
  <cols>
    <col min="1" max="3" width="8.7109375" customWidth="1"/>
    <col min="4" max="4" width="64.7109375" customWidth="1"/>
    <col min="5" max="5" width="8.7109375" customWidth="1"/>
    <col min="6" max="6" width="9.85546875" customWidth="1"/>
    <col min="7" max="9" width="8.7109375" customWidth="1"/>
    <col min="10" max="10" width="19" customWidth="1"/>
    <col min="11" max="11" width="11.42578125" customWidth="1"/>
    <col min="12" max="26" width="8.710937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6" t="str">
        <f>IFERROR(VLOOKUP($C7,  empdata, MATCH(I$6,Source!$C$5:$F$5,0),0),"Retired")</f>
        <v>North</v>
      </c>
      <c r="J7" s="6" t="str">
        <f>IFERROR(VLOOKUP($C7,  empdata, MATCH(J$6,Source!$C$5:$F$5,0),0),"Retired")</f>
        <v>FLM</v>
      </c>
      <c r="K7" s="6">
        <f>IFERROR(VLOOKUP($C7,  empdata, MATCH(K$6,Source!$C$5:$F$5,0),0),"Retired")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6" t="str">
        <f>IFERROR(VLOOKUP($C8,  empdata, MATCH(I$6,Source!$C$5:$F$5,0),0),"Retired")</f>
        <v>North</v>
      </c>
      <c r="J8" s="6" t="str">
        <f>IFERROR(VLOOKUP($C8,  empdata, MATCH(J$6,Source!$C$5:$F$5,0),0),"Retired")</f>
        <v>Digital Marketing</v>
      </c>
      <c r="K8" s="6">
        <f>IFERROR(VLOOKUP($C8,  empdata, MATCH(K$6,Source!$C$5:$F$5,0),0),"Retired")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6" t="str">
        <f>IFERROR(VLOOKUP($C9,  empdata, MATCH(I$6,Source!$C$5:$F$5,0),0),"Retired")</f>
        <v>North</v>
      </c>
      <c r="J9" s="6" t="str">
        <f>IFERROR(VLOOKUP($C9,  empdata, MATCH(J$6,Source!$C$5:$F$5,0),0),"Retired")</f>
        <v>Digital Marketing</v>
      </c>
      <c r="K9" s="6">
        <f>IFERROR(VLOOKUP($C9,  empdata, MATCH(K$6,Source!$C$5:$F$5,0),0),"Retired")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6" t="str">
        <f>IFERROR(VLOOKUP($C10,  empdata, MATCH(I$6,Source!$C$5:$F$5,0),0),"Retired")</f>
        <v>South</v>
      </c>
      <c r="J10" s="6" t="str">
        <f>IFERROR(VLOOKUP($C10,  empdata, MATCH(J$6,Source!$C$5:$F$5,0),0),"Retired")</f>
        <v>Inside Sales</v>
      </c>
      <c r="K10" s="6">
        <f>IFERROR(VLOOKUP($C10,  empdata, MATCH(K$6,Source!$C$5:$F$5,0),0),"Retired")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6" t="str">
        <f>IFERROR(VLOOKUP($C11,  empdata, MATCH(I$6,Source!$C$5:$F$5,0),0),"Retired")</f>
        <v>North</v>
      </c>
      <c r="J11" s="6" t="str">
        <f>IFERROR(VLOOKUP($C11,  empdata, MATCH(J$6,Source!$C$5:$F$5,0),0),"Retired")</f>
        <v>Marketing</v>
      </c>
      <c r="K11" s="6">
        <f>IFERROR(VLOOKUP($C11,  empdata, MATCH(K$6,Source!$C$5:$F$5,0),0),"Retired")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6" t="str">
        <f>IFERROR(VLOOKUP($C12,  empdata, MATCH(I$6,Source!$C$5:$F$5,0),0),"Retired")</f>
        <v>North</v>
      </c>
      <c r="J12" s="6" t="str">
        <f>IFERROR(VLOOKUP($C12,  empdata, MATCH(J$6,Source!$C$5:$F$5,0),0),"Retired")</f>
        <v>Director</v>
      </c>
      <c r="K12" s="6">
        <f>IFERROR(VLOOKUP($C12,  empdata, MATCH(K$6,Source!$C$5:$F$5,0),0),"Retired")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6" t="str">
        <f>IFERROR(VLOOKUP($C13,  empdata, MATCH(I$6,Source!$C$5:$F$5,0),0),"Retired")</f>
        <v>Mid West</v>
      </c>
      <c r="J13" s="6" t="str">
        <f>IFERROR(VLOOKUP($C13,  empdata, MATCH(J$6,Source!$C$5:$F$5,0),0),"Retired")</f>
        <v>Learning &amp; Development</v>
      </c>
      <c r="K13" s="6">
        <f>IFERROR(VLOOKUP($C13,  empdata, MATCH(K$6,Source!$C$5:$F$5,0),0),"Retired")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6" t="str">
        <f>IFERROR(VLOOKUP($C14,  empdata, MATCH(I$6,Source!$C$5:$F$5,0),0),"Retired")</f>
        <v>Mid West</v>
      </c>
      <c r="J14" s="6" t="str">
        <f>IFERROR(VLOOKUP($C14,  empdata, MATCH(J$6,Source!$C$5:$F$5,0),0),"Retired")</f>
        <v>Digital Marketing</v>
      </c>
      <c r="K14" s="6">
        <f>IFERROR(VLOOKUP($C14,  empdata, MATCH(K$6,Source!$C$5:$F$5,0),0),"Retired")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6" t="str">
        <f>IFERROR(VLOOKUP($C15,  empdata, MATCH(I$6,Source!$C$5:$F$5,0),0),"Retired")</f>
        <v>East</v>
      </c>
      <c r="J15" s="6" t="str">
        <f>IFERROR(VLOOKUP($C15,  empdata, MATCH(J$6,Source!$C$5:$F$5,0),0),"Retired")</f>
        <v>Digital Marketing</v>
      </c>
      <c r="K15" s="6">
        <f>IFERROR(VLOOKUP($C15,  empdata, MATCH(K$6,Source!$C$5:$F$5,0),0),"Retired")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6" t="str">
        <f>IFERROR(VLOOKUP($C16,  empdata, MATCH(I$6,Source!$C$5:$F$5,0),0),"Retired")</f>
        <v>North</v>
      </c>
      <c r="J16" s="6" t="str">
        <f>IFERROR(VLOOKUP($C16,  empdata, MATCH(J$6,Source!$C$5:$F$5,0),0),"Retired")</f>
        <v>Inside Sales</v>
      </c>
      <c r="K16" s="6">
        <f>IFERROR(VLOOKUP($C16,  empdata, MATCH(K$6,Source!$C$5:$F$5,0),0),"Retired")</f>
        <v>50000</v>
      </c>
    </row>
    <row r="17" spans="3:11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6" t="str">
        <f>IFERROR(VLOOKUP($C17,  empdata, MATCH(I$6,Source!$C$5:$F$5,0),0),"Retired")</f>
        <v>South</v>
      </c>
      <c r="J17" s="6" t="str">
        <f>IFERROR(VLOOKUP($C17,  empdata, MATCH(J$6,Source!$C$5:$F$5,0),0),"Retired")</f>
        <v>Learning &amp; Development</v>
      </c>
      <c r="K17" s="6">
        <f>IFERROR(VLOOKUP($C17,  empdata, MATCH(K$6,Source!$C$5:$F$5,0),0),"Retired")</f>
        <v>37000</v>
      </c>
    </row>
    <row r="18" spans="3:11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6" t="str">
        <f>IFERROR(VLOOKUP($C18,  empdata, MATCH(I$6,Source!$C$5:$F$5,0),0),"Retired")</f>
        <v>East</v>
      </c>
      <c r="J18" s="6" t="str">
        <f>IFERROR(VLOOKUP($C18,  empdata, MATCH(J$6,Source!$C$5:$F$5,0),0),"Retired")</f>
        <v>Learning &amp; Development</v>
      </c>
      <c r="K18" s="6">
        <f>IFERROR(VLOOKUP($C18,  empdata, MATCH(K$6,Source!$C$5:$F$5,0),0),"Retired")</f>
        <v>43000</v>
      </c>
    </row>
    <row r="19" spans="3:11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6" t="str">
        <f>IFERROR(VLOOKUP($C19,  empdata, MATCH(I$6,Source!$C$5:$F$5,0),0),"Retired")</f>
        <v>East</v>
      </c>
      <c r="J19" s="6" t="str">
        <f>IFERROR(VLOOKUP($C19,  empdata, MATCH(J$6,Source!$C$5:$F$5,0),0),"Retired")</f>
        <v>CEO</v>
      </c>
      <c r="K19" s="6">
        <f>IFERROR(VLOOKUP($C19,  empdata, MATCH(K$6,Source!$C$5:$F$5,0),0),"Retired")</f>
        <v>90000</v>
      </c>
    </row>
    <row r="20" spans="3:11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6" t="str">
        <f>IFERROR(VLOOKUP($C20,  empdata, MATCH(I$6,Source!$C$5:$F$5,0),0),"Retired")</f>
        <v>Retired</v>
      </c>
      <c r="J20" s="6" t="str">
        <f>IFERROR(VLOOKUP($C20,  empdata, MATCH(J$6,Source!$C$5:$F$5,0),0),"Retired")</f>
        <v>Retired</v>
      </c>
      <c r="K20" s="6" t="str">
        <f>IFERROR(VLOOKUP($C20,  empdata, MATCH(K$6,Source!$C$5:$F$5,0),0),"Retired")</f>
        <v>Retired</v>
      </c>
    </row>
    <row r="21" spans="3:11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6" t="str">
        <f>IFERROR(VLOOKUP($C21,  empdata, MATCH(I$6,Source!$C$5:$F$5,0),0),"Retired")</f>
        <v>South</v>
      </c>
      <c r="J21" s="6" t="str">
        <f>IFERROR(VLOOKUP($C21,  empdata, MATCH(J$6,Source!$C$5:$F$5,0),0),"Retired")</f>
        <v>Digital Marketing</v>
      </c>
      <c r="K21" s="6">
        <f>IFERROR(VLOOKUP($C21,  empdata, MATCH(K$6,Source!$C$5:$F$5,0),0),"Retired")</f>
        <v>82000</v>
      </c>
    </row>
    <row r="22" spans="3:11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6" t="str">
        <f>IFERROR(VLOOKUP($C22,  empdata, MATCH(I$6,Source!$C$5:$F$5,0),0),"Retired")</f>
        <v>South</v>
      </c>
      <c r="J22" s="6" t="str">
        <f>IFERROR(VLOOKUP($C22,  empdata, MATCH(J$6,Source!$C$5:$F$5,0),0),"Retired")</f>
        <v>Inside Sales</v>
      </c>
      <c r="K22" s="6">
        <f>IFERROR(VLOOKUP($C22,  empdata, MATCH(K$6,Source!$C$5:$F$5,0),0),"Retired")</f>
        <v>67000</v>
      </c>
    </row>
    <row r="23" spans="3:11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6" t="str">
        <f>IFERROR(VLOOKUP($C23,  empdata, MATCH(I$6,Source!$C$5:$F$5,0),0),"Retired")</f>
        <v>South</v>
      </c>
      <c r="J23" s="6" t="str">
        <f>IFERROR(VLOOKUP($C23,  empdata, MATCH(J$6,Source!$C$5:$F$5,0),0),"Retired")</f>
        <v>CCD</v>
      </c>
      <c r="K23" s="6">
        <f>IFERROR(VLOOKUP($C23,  empdata, MATCH(K$6,Source!$C$5:$F$5,0),0),"Retired")</f>
        <v>85000</v>
      </c>
    </row>
    <row r="24" spans="3:11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6" t="str">
        <f>IFERROR(VLOOKUP($C24,  empdata, MATCH(I$6,Source!$C$5:$F$5,0),0),"Retired")</f>
        <v>South</v>
      </c>
      <c r="J24" s="6" t="str">
        <f>IFERROR(VLOOKUP($C24,  empdata, MATCH(J$6,Source!$C$5:$F$5,0),0),"Retired")</f>
        <v>FLM</v>
      </c>
      <c r="K24" s="6">
        <f>IFERROR(VLOOKUP($C24,  empdata, MATCH(K$6,Source!$C$5:$F$5,0),0),"Retired")</f>
        <v>62000</v>
      </c>
    </row>
    <row r="25" spans="3:11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6" t="str">
        <f>IFERROR(VLOOKUP($C25,  empdata, MATCH(I$6,Source!$C$5:$F$5,0),0),"Retired")</f>
        <v>Mid West</v>
      </c>
      <c r="J25" s="6" t="str">
        <f>IFERROR(VLOOKUP($C25,  empdata, MATCH(J$6,Source!$C$5:$F$5,0),0),"Retired")</f>
        <v>Inside Sales</v>
      </c>
      <c r="K25" s="6">
        <f>IFERROR(VLOOKUP($C25,  empdata, MATCH(K$6,Source!$C$5:$F$5,0),0),"Retired")</f>
        <v>15000</v>
      </c>
    </row>
    <row r="26" spans="3:11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6" t="str">
        <f>IFERROR(VLOOKUP($C26,  empdata, MATCH(I$6,Source!$C$5:$F$5,0),0),"Retired")</f>
        <v>South</v>
      </c>
      <c r="J26" s="6" t="str">
        <f>IFERROR(VLOOKUP($C26,  empdata, MATCH(J$6,Source!$C$5:$F$5,0),0),"Retired")</f>
        <v>Operations</v>
      </c>
      <c r="K26" s="6">
        <f>IFERROR(VLOOKUP($C26,  empdata, MATCH(K$6,Source!$C$5:$F$5,0),0),"Retired")</f>
        <v>81000</v>
      </c>
    </row>
    <row r="27" spans="3:11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6" t="str">
        <f>IFERROR(VLOOKUP($C27,  empdata, MATCH(I$6,Source!$C$5:$F$5,0),0),"Retired")</f>
        <v>South</v>
      </c>
      <c r="J27" s="6" t="str">
        <f>IFERROR(VLOOKUP($C27,  empdata, MATCH(J$6,Source!$C$5:$F$5,0),0),"Retired")</f>
        <v>Finance</v>
      </c>
      <c r="K27" s="6">
        <f>IFERROR(VLOOKUP($C27,  empdata, MATCH(K$6,Source!$C$5:$F$5,0),0),"Retired")</f>
        <v>19000</v>
      </c>
    </row>
    <row r="28" spans="3:11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6" t="str">
        <f>IFERROR(VLOOKUP($C28,  empdata, MATCH(I$6,Source!$C$5:$F$5,0),0),"Retired")</f>
        <v>East</v>
      </c>
      <c r="J28" s="6" t="str">
        <f>IFERROR(VLOOKUP($C28,  empdata, MATCH(J$6,Source!$C$5:$F$5,0),0),"Retired")</f>
        <v>Inside Sales</v>
      </c>
      <c r="K28" s="6">
        <f>IFERROR(VLOOKUP($C28,  empdata, MATCH(K$6,Source!$C$5:$F$5,0),0),"Retired")</f>
        <v>75000</v>
      </c>
    </row>
    <row r="29" spans="3:11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6" t="str">
        <f>IFERROR(VLOOKUP($C29,  empdata, MATCH(I$6,Source!$C$5:$F$5,0),0),"Retired")</f>
        <v>East</v>
      </c>
      <c r="J29" s="6" t="str">
        <f>IFERROR(VLOOKUP($C29,  empdata, MATCH(J$6,Source!$C$5:$F$5,0),0),"Retired")</f>
        <v>Finance</v>
      </c>
      <c r="K29" s="6">
        <f>IFERROR(VLOOKUP($C29,  empdata, MATCH(K$6,Source!$C$5:$F$5,0),0),"Retired")</f>
        <v>49000</v>
      </c>
    </row>
    <row r="30" spans="3:11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6" t="str">
        <f>IFERROR(VLOOKUP($C30,  empdata, MATCH(I$6,Source!$C$5:$F$5,0),0),"Retired")</f>
        <v>Retired</v>
      </c>
      <c r="J30" s="6" t="str">
        <f>IFERROR(VLOOKUP($C30,  empdata, MATCH(J$6,Source!$C$5:$F$5,0),0),"Retired")</f>
        <v>Retired</v>
      </c>
      <c r="K30" s="6" t="str">
        <f>IFERROR(VLOOKUP($C30,  empdata, MATCH(K$6,Source!$C$5:$F$5,0),0),"Retired")</f>
        <v>Retired</v>
      </c>
    </row>
    <row r="31" spans="3:11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6" t="str">
        <f>IFERROR(VLOOKUP($C31,  empdata, MATCH(I$6,Source!$C$5:$F$5,0),0),"Retired")</f>
        <v>Mid West</v>
      </c>
      <c r="J31" s="6" t="str">
        <f>IFERROR(VLOOKUP($C31,  empdata, MATCH(J$6,Source!$C$5:$F$5,0),0),"Retired")</f>
        <v>Finance</v>
      </c>
      <c r="K31" s="6">
        <f>IFERROR(VLOOKUP($C31,  empdata, MATCH(K$6,Source!$C$5:$F$5,0),0),"Retired")</f>
        <v>83000</v>
      </c>
    </row>
    <row r="32" spans="3:11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6" t="str">
        <f>IFERROR(VLOOKUP($C32,  empdata, MATCH(I$6,Source!$C$5:$F$5,0),0),"Retired")</f>
        <v>South</v>
      </c>
      <c r="J32" s="6" t="str">
        <f>IFERROR(VLOOKUP($C32,  empdata, MATCH(J$6,Source!$C$5:$F$5,0),0),"Retired")</f>
        <v>Sales</v>
      </c>
      <c r="K32" s="6">
        <f>IFERROR(VLOOKUP($C32,  empdata, MATCH(K$6,Source!$C$5:$F$5,0),0),"Retired")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6" t="str">
        <f>IFERROR(VLOOKUP($C33,  empdata, MATCH(I$6,Source!$C$5:$F$5,0),0),"Retired")</f>
        <v>South</v>
      </c>
      <c r="J33" s="6" t="str">
        <f>IFERROR(VLOOKUP($C33,  empdata, MATCH(J$6,Source!$C$5:$F$5,0),0),"Retired")</f>
        <v>Operations</v>
      </c>
      <c r="K33" s="6">
        <f>IFERROR(VLOOKUP($C33,  empdata, MATCH(K$6,Source!$C$5:$F$5,0),0),"Retired")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6" t="str">
        <f>IFERROR(VLOOKUP($C34,  empdata, MATCH(I$6,Source!$C$5:$F$5,0),0),"Retired")</f>
        <v>North</v>
      </c>
      <c r="J34" s="6" t="str">
        <f>IFERROR(VLOOKUP($C34,  empdata, MATCH(J$6,Source!$C$5:$F$5,0),0),"Retired")</f>
        <v>Finance</v>
      </c>
      <c r="K34" s="6">
        <f>IFERROR(VLOOKUP($C34,  empdata, MATCH(K$6,Source!$C$5:$F$5,0),0),"Retired")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6" t="str">
        <f>IFERROR(VLOOKUP($C35,  empdata, MATCH(I$6,Source!$C$5:$F$5,0),0),"Retired")</f>
        <v>East</v>
      </c>
      <c r="J35" s="6" t="str">
        <f>IFERROR(VLOOKUP($C35,  empdata, MATCH(J$6,Source!$C$5:$F$5,0),0),"Retired")</f>
        <v>Inside Sales</v>
      </c>
      <c r="K35" s="6">
        <f>IFERROR(VLOOKUP($C35,  empdata, MATCH(K$6,Source!$C$5:$F$5,0),0),"Retired")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6" t="str">
        <f>IFERROR(VLOOKUP($C36,  empdata, MATCH(I$6,Source!$C$5:$F$5,0),0),"Retired")</f>
        <v>East</v>
      </c>
      <c r="J36" s="6" t="str">
        <f>IFERROR(VLOOKUP($C36,  empdata, MATCH(J$6,Source!$C$5:$F$5,0),0),"Retired")</f>
        <v>CCD</v>
      </c>
      <c r="K36" s="6">
        <f>IFERROR(VLOOKUP($C36,  empdata, MATCH(K$6,Source!$C$5:$F$5,0),0),"Retired")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6" t="str">
        <f>IFERROR(VLOOKUP($C37,  empdata, MATCH(I$6,Source!$C$5:$F$5,0),0),"Retired")</f>
        <v>South</v>
      </c>
      <c r="J37" s="6" t="str">
        <f>IFERROR(VLOOKUP($C37,  empdata, MATCH(J$6,Source!$C$5:$F$5,0),0),"Retired")</f>
        <v>Director</v>
      </c>
      <c r="K37" s="6">
        <f>IFERROR(VLOOKUP($C37,  empdata, MATCH(K$6,Source!$C$5:$F$5,0),0),"Retired")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6" t="str">
        <f>IFERROR(VLOOKUP($C38,  empdata, MATCH(I$6,Source!$C$5:$F$5,0),0),"Retired")</f>
        <v>Retired</v>
      </c>
      <c r="J38" s="6" t="str">
        <f>IFERROR(VLOOKUP($C38,  empdata, MATCH(J$6,Source!$C$5:$F$5,0),0),"Retired")</f>
        <v>Retired</v>
      </c>
      <c r="K38" s="6" t="str">
        <f>IFERROR(VLOOKUP($C38,  empdata, MATCH(K$6,Source!$C$5:$F$5,0),0),"Retired")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6" t="str">
        <f>IFERROR(VLOOKUP($C39,  empdata, MATCH(I$6,Source!$C$5:$F$5,0),0),"Retired")</f>
        <v>East</v>
      </c>
      <c r="J39" s="6" t="str">
        <f>IFERROR(VLOOKUP($C39,  empdata, MATCH(J$6,Source!$C$5:$F$5,0),0),"Retired")</f>
        <v>Marketing</v>
      </c>
      <c r="K39" s="6">
        <f>IFERROR(VLOOKUP($C39,  empdata, MATCH(K$6,Source!$C$5:$F$5,0),0),"Retired")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6" t="str">
        <f>IFERROR(VLOOKUP($C40,  empdata, MATCH(I$6,Source!$C$5:$F$5,0),0),"Retired")</f>
        <v>North</v>
      </c>
      <c r="J40" s="6" t="str">
        <f>IFERROR(VLOOKUP($C40,  empdata, MATCH(J$6,Source!$C$5:$F$5,0),0),"Retired")</f>
        <v>Digital Marketing</v>
      </c>
      <c r="K40" s="6">
        <f>IFERROR(VLOOKUP($C40,  empdata, MATCH(K$6,Source!$C$5:$F$5,0),0),"Retired")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6" t="str">
        <f>IFERROR(VLOOKUP($C41,  empdata, MATCH(I$6,Source!$C$5:$F$5,0),0),"Retired")</f>
        <v>North</v>
      </c>
      <c r="J41" s="6" t="str">
        <f>IFERROR(VLOOKUP($C41,  empdata, MATCH(J$6,Source!$C$5:$F$5,0),0),"Retired")</f>
        <v>Sales</v>
      </c>
      <c r="K41" s="6">
        <f>IFERROR(VLOOKUP($C41,  empdata, MATCH(K$6,Source!$C$5:$F$5,0),0),"Retired")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6" t="str">
        <f>IFERROR(VLOOKUP($C42,  empdata, MATCH(I$6,Source!$C$5:$F$5,0),0),"Retired")</f>
        <v>South</v>
      </c>
      <c r="J42" s="6" t="str">
        <f>IFERROR(VLOOKUP($C42,  empdata, MATCH(J$6,Source!$C$5:$F$5,0),0),"Retired")</f>
        <v>Marketing</v>
      </c>
      <c r="K42" s="6">
        <f>IFERROR(VLOOKUP($C42,  empdata, MATCH(K$6,Source!$C$5:$F$5,0),0),"Retired")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6" t="str">
        <f>IFERROR(VLOOKUP($C43,  empdata, MATCH(I$6,Source!$C$5:$F$5,0),0),"Retired")</f>
        <v>Mid West</v>
      </c>
      <c r="J43" s="6" t="str">
        <f>IFERROR(VLOOKUP($C43,  empdata, MATCH(J$6,Source!$C$5:$F$5,0),0),"Retired")</f>
        <v>Marketing</v>
      </c>
      <c r="K43" s="6">
        <f>IFERROR(VLOOKUP($C43,  empdata, MATCH(K$6,Source!$C$5:$F$5,0),0),"Retired")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6" t="str">
        <f>IFERROR(VLOOKUP($C44,  empdata, MATCH(I$6,Source!$C$5:$F$5,0),0),"Retired")</f>
        <v>North</v>
      </c>
      <c r="J44" s="6" t="str">
        <f>IFERROR(VLOOKUP($C44,  empdata, MATCH(J$6,Source!$C$5:$F$5,0),0),"Retired")</f>
        <v>CCD</v>
      </c>
      <c r="K44" s="6">
        <f>IFERROR(VLOOKUP($C44,  empdata, MATCH(K$6,Source!$C$5:$F$5,0),0),"Retired")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workbookViewId="0">
      <selection activeCell="C5" sqref="C5:F40"/>
    </sheetView>
  </sheetViews>
  <sheetFormatPr defaultColWidth="14.42578125" defaultRowHeight="15" customHeight="1"/>
  <cols>
    <col min="1" max="2" width="8.7109375" customWidth="1"/>
    <col min="3" max="3" width="9.85546875" customWidth="1"/>
    <col min="4" max="4" width="21.28515625" customWidth="1"/>
    <col min="5" max="5" width="9.28515625" customWidth="1"/>
    <col min="6" max="6" width="13.28515625" customWidth="1"/>
    <col min="7" max="26" width="8.710937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4" t="s">
        <v>0</v>
      </c>
      <c r="D5" s="15" t="s">
        <v>6</v>
      </c>
      <c r="E5" s="15" t="s">
        <v>7</v>
      </c>
      <c r="F5" s="16" t="s">
        <v>8</v>
      </c>
    </row>
    <row r="6" spans="3:6" ht="14.25" customHeight="1">
      <c r="C6" s="12">
        <v>150773</v>
      </c>
      <c r="D6" s="3" t="s">
        <v>70</v>
      </c>
      <c r="E6" s="3" t="s">
        <v>14</v>
      </c>
      <c r="F6" s="13">
        <v>85000</v>
      </c>
    </row>
    <row r="7" spans="3:6" ht="14.25" customHeight="1">
      <c r="C7" s="12">
        <v>150777</v>
      </c>
      <c r="D7" s="3" t="s">
        <v>29</v>
      </c>
      <c r="E7" s="3" t="s">
        <v>14</v>
      </c>
      <c r="F7" s="13">
        <v>22000</v>
      </c>
    </row>
    <row r="8" spans="3:6" ht="14.25" customHeight="1">
      <c r="C8" s="12">
        <v>150784</v>
      </c>
      <c r="D8" s="3" t="s">
        <v>18</v>
      </c>
      <c r="E8" s="3" t="s">
        <v>14</v>
      </c>
      <c r="F8" s="13">
        <v>35000</v>
      </c>
    </row>
    <row r="9" spans="3:6" ht="14.25" customHeight="1">
      <c r="C9" s="12">
        <v>150791</v>
      </c>
      <c r="D9" s="3" t="s">
        <v>18</v>
      </c>
      <c r="E9" s="3" t="s">
        <v>14</v>
      </c>
      <c r="F9" s="13">
        <v>67000</v>
      </c>
    </row>
    <row r="10" spans="3:6" ht="14.25" customHeight="1">
      <c r="C10" s="12">
        <v>150798</v>
      </c>
      <c r="D10" s="3" t="s">
        <v>18</v>
      </c>
      <c r="E10" s="3" t="s">
        <v>14</v>
      </c>
      <c r="F10" s="13">
        <v>81000</v>
      </c>
    </row>
    <row r="11" spans="3:6" ht="14.25" customHeight="1">
      <c r="C11" s="12">
        <v>150805</v>
      </c>
      <c r="D11" s="3" t="s">
        <v>33</v>
      </c>
      <c r="E11" s="3" t="s">
        <v>14</v>
      </c>
      <c r="F11" s="13">
        <v>91000</v>
      </c>
    </row>
    <row r="12" spans="3:6" ht="14.25" customHeight="1">
      <c r="C12" s="12">
        <v>150814</v>
      </c>
      <c r="D12" s="3" t="s">
        <v>25</v>
      </c>
      <c r="E12" s="3" t="s">
        <v>14</v>
      </c>
      <c r="F12" s="13">
        <v>50000</v>
      </c>
    </row>
    <row r="13" spans="3:6" ht="14.25" customHeight="1">
      <c r="C13" s="12">
        <v>150821</v>
      </c>
      <c r="D13" s="3" t="s">
        <v>54</v>
      </c>
      <c r="E13" s="3" t="s">
        <v>14</v>
      </c>
      <c r="F13" s="13">
        <v>26000</v>
      </c>
    </row>
    <row r="14" spans="3:6" ht="14.25" customHeight="1">
      <c r="C14" s="12">
        <v>150830</v>
      </c>
      <c r="D14" s="3" t="s">
        <v>81</v>
      </c>
      <c r="E14" s="3" t="s">
        <v>14</v>
      </c>
      <c r="F14" s="13">
        <v>52000</v>
      </c>
    </row>
    <row r="15" spans="3:6" ht="14.25" customHeight="1">
      <c r="C15" s="12">
        <v>150834</v>
      </c>
      <c r="D15" s="3" t="s">
        <v>13</v>
      </c>
      <c r="E15" s="3" t="s">
        <v>14</v>
      </c>
      <c r="F15" s="13">
        <v>48000</v>
      </c>
    </row>
    <row r="16" spans="3:6" ht="14.25" customHeight="1">
      <c r="C16" s="12">
        <v>150840</v>
      </c>
      <c r="D16" s="3" t="s">
        <v>25</v>
      </c>
      <c r="E16" s="3" t="s">
        <v>43</v>
      </c>
      <c r="F16" s="13">
        <v>20000</v>
      </c>
    </row>
    <row r="17" spans="3:6" ht="14.25" customHeight="1">
      <c r="C17" s="12">
        <v>150850</v>
      </c>
      <c r="D17" s="3" t="s">
        <v>54</v>
      </c>
      <c r="E17" s="3" t="s">
        <v>43</v>
      </c>
      <c r="F17" s="13">
        <v>47000</v>
      </c>
    </row>
    <row r="18" spans="3:6" ht="14.25" customHeight="1">
      <c r="C18" s="12">
        <v>150851</v>
      </c>
      <c r="D18" s="3" t="s">
        <v>25</v>
      </c>
      <c r="E18" s="3" t="s">
        <v>43</v>
      </c>
      <c r="F18" s="13">
        <v>75000</v>
      </c>
    </row>
    <row r="19" spans="3:6" ht="14.25" customHeight="1">
      <c r="C19" s="12">
        <v>150865</v>
      </c>
      <c r="D19" s="3" t="s">
        <v>51</v>
      </c>
      <c r="E19" s="3" t="s">
        <v>43</v>
      </c>
      <c r="F19" s="13">
        <v>90000</v>
      </c>
    </row>
    <row r="20" spans="3:6" ht="14.25" customHeight="1">
      <c r="C20" s="12">
        <v>150867</v>
      </c>
      <c r="D20" s="3" t="s">
        <v>70</v>
      </c>
      <c r="E20" s="3" t="s">
        <v>43</v>
      </c>
      <c r="F20" s="13">
        <v>49000</v>
      </c>
    </row>
    <row r="21" spans="3:6" ht="14.25" customHeight="1">
      <c r="C21" s="12">
        <v>150874</v>
      </c>
      <c r="D21" s="3" t="s">
        <v>29</v>
      </c>
      <c r="E21" s="3" t="s">
        <v>43</v>
      </c>
      <c r="F21" s="13">
        <v>27000</v>
      </c>
    </row>
    <row r="22" spans="3:6" ht="14.25" customHeight="1">
      <c r="C22" s="12">
        <v>150881</v>
      </c>
      <c r="D22" s="3" t="s">
        <v>18</v>
      </c>
      <c r="E22" s="3" t="s">
        <v>43</v>
      </c>
      <c r="F22" s="13">
        <v>92000</v>
      </c>
    </row>
    <row r="23" spans="3:6" ht="14.25" customHeight="1">
      <c r="C23" s="12">
        <v>150888</v>
      </c>
      <c r="D23" s="3" t="s">
        <v>37</v>
      </c>
      <c r="E23" s="3" t="s">
        <v>43</v>
      </c>
      <c r="F23" s="13">
        <v>43000</v>
      </c>
    </row>
    <row r="24" spans="3:6" ht="14.25" customHeight="1">
      <c r="C24" s="12">
        <v>150894</v>
      </c>
      <c r="D24" s="3" t="s">
        <v>25</v>
      </c>
      <c r="E24" s="3" t="s">
        <v>26</v>
      </c>
      <c r="F24" s="13">
        <v>67000</v>
      </c>
    </row>
    <row r="25" spans="3:6" ht="14.25" customHeight="1">
      <c r="C25" s="12">
        <v>150901</v>
      </c>
      <c r="D25" s="3" t="s">
        <v>81</v>
      </c>
      <c r="E25" s="3" t="s">
        <v>26</v>
      </c>
      <c r="F25" s="13">
        <v>53000</v>
      </c>
    </row>
    <row r="26" spans="3:6" ht="14.25" customHeight="1">
      <c r="C26" s="12">
        <v>150905</v>
      </c>
      <c r="D26" s="3" t="s">
        <v>13</v>
      </c>
      <c r="E26" s="3" t="s">
        <v>26</v>
      </c>
      <c r="F26" s="13">
        <v>62000</v>
      </c>
    </row>
    <row r="27" spans="3:6" ht="14.25" customHeight="1">
      <c r="C27" s="12">
        <v>150912</v>
      </c>
      <c r="D27" s="3" t="s">
        <v>67</v>
      </c>
      <c r="E27" s="3" t="s">
        <v>26</v>
      </c>
      <c r="F27" s="13">
        <v>81000</v>
      </c>
    </row>
    <row r="28" spans="3:6" ht="14.25" customHeight="1">
      <c r="C28" s="12">
        <v>150921</v>
      </c>
      <c r="D28" s="3" t="s">
        <v>70</v>
      </c>
      <c r="E28" s="3" t="s">
        <v>26</v>
      </c>
      <c r="F28" s="13">
        <v>19000</v>
      </c>
    </row>
    <row r="29" spans="3:6" ht="14.25" customHeight="1">
      <c r="C29" s="12">
        <v>150929</v>
      </c>
      <c r="D29" s="3" t="s">
        <v>29</v>
      </c>
      <c r="E29" s="3" t="s">
        <v>26</v>
      </c>
      <c r="F29" s="13">
        <v>58000</v>
      </c>
    </row>
    <row r="30" spans="3:6" ht="14.25" customHeight="1">
      <c r="C30" s="12">
        <v>150930</v>
      </c>
      <c r="D30" s="3" t="s">
        <v>18</v>
      </c>
      <c r="E30" s="3" t="s">
        <v>26</v>
      </c>
      <c r="F30" s="13">
        <v>82000</v>
      </c>
    </row>
    <row r="31" spans="3:6" ht="14.25" customHeight="1">
      <c r="C31" s="12">
        <v>150937</v>
      </c>
      <c r="D31" s="3" t="s">
        <v>37</v>
      </c>
      <c r="E31" s="3" t="s">
        <v>26</v>
      </c>
      <c r="F31" s="13">
        <v>37000</v>
      </c>
    </row>
    <row r="32" spans="3:6" ht="14.25" customHeight="1">
      <c r="C32" s="12">
        <v>150940</v>
      </c>
      <c r="D32" s="3" t="s">
        <v>25</v>
      </c>
      <c r="E32" s="3" t="s">
        <v>26</v>
      </c>
      <c r="F32" s="13">
        <v>87000</v>
      </c>
    </row>
    <row r="33" spans="3:6" ht="14.25" customHeight="1">
      <c r="C33" s="12">
        <v>150947</v>
      </c>
      <c r="D33" s="3" t="s">
        <v>54</v>
      </c>
      <c r="E33" s="3" t="s">
        <v>26</v>
      </c>
      <c r="F33" s="13">
        <v>85000</v>
      </c>
    </row>
    <row r="34" spans="3:6" ht="14.25" customHeight="1">
      <c r="C34" s="12">
        <v>150962</v>
      </c>
      <c r="D34" s="3" t="s">
        <v>33</v>
      </c>
      <c r="E34" s="3" t="s">
        <v>26</v>
      </c>
      <c r="F34" s="13">
        <v>87000</v>
      </c>
    </row>
    <row r="35" spans="3:6" ht="14.25" customHeight="1">
      <c r="C35" s="12">
        <v>150968</v>
      </c>
      <c r="D35" s="3" t="s">
        <v>67</v>
      </c>
      <c r="E35" s="3" t="s">
        <v>26</v>
      </c>
      <c r="F35" s="13">
        <v>65000</v>
      </c>
    </row>
    <row r="36" spans="3:6" ht="14.25" customHeight="1">
      <c r="C36" s="12">
        <v>150975</v>
      </c>
      <c r="D36" s="3" t="s">
        <v>70</v>
      </c>
      <c r="E36" s="3" t="s">
        <v>38</v>
      </c>
      <c r="F36" s="13">
        <v>83000</v>
      </c>
    </row>
    <row r="37" spans="3:6" ht="14.25" customHeight="1">
      <c r="C37" s="12">
        <v>150982</v>
      </c>
      <c r="D37" s="3" t="s">
        <v>29</v>
      </c>
      <c r="E37" s="3" t="s">
        <v>38</v>
      </c>
      <c r="F37" s="13">
        <v>47000</v>
      </c>
    </row>
    <row r="38" spans="3:6" ht="14.25" customHeight="1">
      <c r="C38" s="12">
        <v>150989</v>
      </c>
      <c r="D38" s="3" t="s">
        <v>18</v>
      </c>
      <c r="E38" s="3" t="s">
        <v>38</v>
      </c>
      <c r="F38" s="13">
        <v>45000</v>
      </c>
    </row>
    <row r="39" spans="3:6" ht="14.25" customHeight="1">
      <c r="C39" s="12">
        <v>150990</v>
      </c>
      <c r="D39" s="3" t="s">
        <v>37</v>
      </c>
      <c r="E39" s="3" t="s">
        <v>38</v>
      </c>
      <c r="F39" s="13">
        <v>77000</v>
      </c>
    </row>
    <row r="40" spans="3:6" ht="14.25" customHeight="1">
      <c r="C40" s="17">
        <v>150995</v>
      </c>
      <c r="D40" s="18" t="s">
        <v>25</v>
      </c>
      <c r="E40" s="18" t="s">
        <v>38</v>
      </c>
      <c r="F40" s="19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Index&amp;Match</vt:lpstr>
      <vt:lpstr>Master Emp sheet</vt:lpstr>
      <vt:lpstr>Source</vt:lpstr>
      <vt:lpstr>empdata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Nigam</dc:creator>
  <cp:lastModifiedBy>Harsh Rai</cp:lastModifiedBy>
  <dcterms:created xsi:type="dcterms:W3CDTF">2022-07-27T06:45:44Z</dcterms:created>
  <dcterms:modified xsi:type="dcterms:W3CDTF">2025-12-30T21:50:11Z</dcterms:modified>
</cp:coreProperties>
</file>